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Lists" sheetId="2" state="visible" r:id="rId2"/>
    <sheet name="Tracker" sheetId="3" state="visible" r:id="rId3"/>
    <sheet name="Status Guide" sheetId="4" state="visible" r:id="rId4"/>
    <sheet name="Dashboard" sheetId="5" state="visible" r:id="rId5"/>
    <sheet name="Google Sheets" sheetId="6" state="visible" r:id="rId6"/>
  </sheets>
  <definedNames>
    <definedName name="_xlnm._FilterDatabase" localSheetId="2" hidden="1">'Tracker'!$A$2:$P$500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13">
    <font>
      <name val="Calibri"/>
      <family val="2"/>
      <color theme="1"/>
      <sz val="11"/>
      <scheme val="minor"/>
    </font>
    <font>
      <b val="1"/>
      <color rgb="007C2D4A"/>
      <sz val="16"/>
    </font>
    <font>
      <i val="1"/>
      <color rgb="00B91C1C"/>
      <sz val="11"/>
    </font>
    <font>
      <b val="1"/>
      <color rgb="001F2A37"/>
      <sz val="12"/>
    </font>
    <font>
      <i val="1"/>
      <color rgb="00B91C1C"/>
      <sz val="9"/>
    </font>
    <font>
      <b val="1"/>
      <color rgb="00FFFFFF"/>
      <sz val="11"/>
    </font>
    <font>
      <color rgb="006B7280"/>
      <sz val="10"/>
    </font>
    <font>
      <b val="1"/>
      <color rgb="007C2D4A"/>
      <sz val="14"/>
    </font>
    <font>
      <b val="1"/>
      <color rgb="00B91C1C"/>
      <sz val="12"/>
    </font>
    <font>
      <sz val="10"/>
    </font>
    <font>
      <i val="1"/>
      <color rgb="006B7280"/>
      <sz val="9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7C2D4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dxfs count="8">
    <dxf>
      <fill>
        <patternFill patternType="solid">
          <fgColor rgb="00E3F0FD"/>
        </patternFill>
      </fill>
    </dxf>
    <dxf>
      <font>
        <b val="1"/>
        <color rgb="0012703A"/>
      </font>
      <fill>
        <patternFill patternType="solid">
          <fgColor rgb="00DCF5E3"/>
        </patternFill>
      </fill>
    </dxf>
    <dxf>
      <fill>
        <patternFill patternType="solid">
          <fgColor rgb="00F1F2F4"/>
        </patternFill>
      </fill>
    </dxf>
    <dxf>
      <fill>
        <patternFill patternType="solid">
          <fgColor rgb="00FDF3D7"/>
        </patternFill>
      </fill>
    </dxf>
    <dxf>
      <fill>
        <patternFill patternType="solid">
          <fgColor rgb="00F7F3E3"/>
        </patternFill>
      </fill>
    </dxf>
    <dxf>
      <font>
        <b val="1"/>
        <color rgb="00B91C1C"/>
      </font>
      <fill>
        <patternFill patternType="solid">
          <fgColor rgb="00FDE2E1"/>
        </patternFill>
      </fill>
    </dxf>
    <dxf>
      <fill>
        <patternFill patternType="solid">
          <fgColor rgb="00FDE2E1"/>
        </patternFill>
      </fill>
    </dxf>
    <dxf>
      <font>
        <b val="1"/>
        <color rgb="009A3412"/>
      </font>
      <fill>
        <patternFill patternType="solid">
          <fgColor rgb="00FDF3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7-DAY ENQUIRY RECOVERY SPRINT - ENQUIRY TRACKER</t>
        </is>
      </c>
    </row>
    <row r="2">
      <c r="A2" s="2" t="inlineStr">
        <is>
          <t>SAMPLE FILE - every enquiry below is fictional, created for demonstration only. No real customer data is used anywhere in this file.</t>
        </is>
      </c>
    </row>
    <row r="3">
      <c r="A3" t="inlineStr"/>
    </row>
    <row r="4">
      <c r="A4" s="3" t="inlineStr">
        <is>
          <t>HOW TO USE</t>
        </is>
      </c>
    </row>
    <row r="5">
      <c r="A5" t="inlineStr">
        <is>
          <t>1. Open the 'Tracker' tab. It is filled with fictional examples (ENQ-001 to ENQ-010).</t>
        </is>
      </c>
    </row>
    <row r="6">
      <c r="A6" t="inlineStr">
        <is>
          <t>2. For real use: delete rows 3 to 12, then paste YOUR enquiries into the same columns.</t>
        </is>
      </c>
    </row>
    <row r="7">
      <c r="A7" t="inlineStr">
        <is>
          <t xml:space="preserve">   Dropdowns, colours and formulas already cover rows 3 to 500.</t>
        </is>
      </c>
    </row>
    <row r="8">
      <c r="A8" t="inlineStr">
        <is>
          <t>3. Update only four things per enquiry: Enquiry Status, Last Contact Date,</t>
        </is>
      </c>
    </row>
    <row r="9">
      <c r="A9" t="inlineStr">
        <is>
          <t xml:space="preserve">   Next Action and Follow-Up Status. Outcome is filled when something final happens.</t>
        </is>
      </c>
    </row>
    <row r="10">
      <c r="A10" t="inlineStr">
        <is>
          <t>4. Columns N, O and P calculate by themselves. Do not type in them.</t>
        </is>
      </c>
    </row>
    <row r="11">
      <c r="A11" t="inlineStr">
        <is>
          <t>5. Colours are automatic: red = overdue or urgent, amber = due today/soon,</t>
        </is>
      </c>
    </row>
    <row r="12">
      <c r="A12" s="3" t="inlineStr">
        <is>
          <t xml:space="preserve">   blue = new enquiry, green = booked, grey = closed or dormant.</t>
        </is>
      </c>
    </row>
    <row r="13">
      <c r="A13" t="inlineStr"/>
    </row>
    <row r="14">
      <c r="A14" t="inlineStr">
        <is>
          <t>THE 30-SECOND DAILY RULE</t>
        </is>
      </c>
    </row>
    <row r="15">
      <c r="A15" t="inlineStr">
        <is>
          <t>Filter Priority = 'P1 - today' -&gt; send those messages -&gt; update the rows.</t>
        </is>
      </c>
    </row>
    <row r="16">
      <c r="A16" t="inlineStr">
        <is>
          <t>Then filter Enquiry Status = 'New enquiry' -&gt; reply to those. Nothing else needs daily attention.</t>
        </is>
      </c>
    </row>
    <row r="17">
      <c r="A17" t="inlineStr"/>
    </row>
    <row r="18">
      <c r="A18" s="3" t="inlineStr">
        <is>
          <t>OTHER TABS:  'Status Guide' = what each status means and the stop rules</t>
        </is>
      </c>
    </row>
    <row r="19">
      <c r="A19" t="inlineStr">
        <is>
          <t xml:space="preserve">             'Dashboard'    = live counts   'Lists' = dropdown options (edit with care)</t>
        </is>
      </c>
    </row>
    <row r="20">
      <c r="A20" t="inlineStr">
        <is>
          <t xml:space="preserve">             'How to use in Google Sheets' = the same setup in 8 clicks</t>
        </is>
      </c>
    </row>
    <row r="21">
      <c r="A21" t="inlineStr"/>
    </row>
    <row r="22">
      <c r="A22" s="3" t="inlineStr">
        <is>
          <t>PRIVACY: use initials or first names only. Never store phone numbers or email addresses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6" customWidth="1" min="1" max="1"/>
    <col width="3" customWidth="1" min="2" max="2"/>
    <col width="46" customWidth="1" min="3" max="3"/>
    <col width="3" customWidth="1" min="4" max="4"/>
    <col width="46" customWidth="1" min="5" max="5"/>
    <col width="3" customWidth="1" min="6" max="6"/>
    <col width="46" customWidth="1" min="7" max="7"/>
    <col width="3" customWidth="1" min="8" max="8"/>
    <col width="46" customWidth="1" min="9" max="9"/>
    <col width="3" customWidth="1" min="10" max="10"/>
    <col width="46" customWidth="1" min="11" max="11"/>
    <col width="3" customWidth="1" min="12" max="12"/>
  </cols>
  <sheetData>
    <row r="1">
      <c r="A1" s="4" t="inlineStr">
        <is>
          <t>Requested Service</t>
        </is>
      </c>
      <c r="C1" s="4" t="inlineStr">
        <is>
          <t>Enquiry Source</t>
        </is>
      </c>
      <c r="E1" s="4" t="inlineStr">
        <is>
          <t>Enquiry Status</t>
        </is>
      </c>
      <c r="G1" s="4" t="inlineStr">
        <is>
          <t>Next Action</t>
        </is>
      </c>
      <c r="I1" s="4" t="inlineStr">
        <is>
          <t>Follow-Up Status</t>
        </is>
      </c>
      <c r="K1" s="4" t="inlineStr">
        <is>
          <t>Outcome</t>
        </is>
      </c>
    </row>
    <row r="2">
      <c r="A2" t="inlineStr">
        <is>
          <t>Full wedding photography (1 day)</t>
        </is>
      </c>
      <c r="C2" t="inlineStr">
        <is>
          <t>Instagram DM</t>
        </is>
      </c>
      <c r="E2" t="inlineStr">
        <is>
          <t>New enquiry</t>
        </is>
      </c>
      <c r="G2" t="inlineStr">
        <is>
          <t>Reply with welcome message + 3 questions</t>
        </is>
      </c>
      <c r="I2" t="inlineStr">
        <is>
          <t>Not started</t>
        </is>
      </c>
      <c r="K2" t="inlineStr">
        <is>
          <t>Open</t>
        </is>
      </c>
    </row>
    <row r="3">
      <c r="A3" t="inlineStr">
        <is>
          <t>Full wedding photography (2+ days)</t>
        </is>
      </c>
      <c r="C3" t="inlineStr">
        <is>
          <t>Instagram comment / story reply</t>
        </is>
      </c>
      <c r="E3" t="inlineStr">
        <is>
          <t>Awaiting reply</t>
        </is>
      </c>
      <c r="G3" t="inlineStr">
        <is>
          <t>Share availability for their dates</t>
        </is>
      </c>
      <c r="I3" t="inlineStr">
        <is>
          <t>Due today</t>
        </is>
      </c>
      <c r="K3" t="inlineStr">
        <is>
          <t>Booked</t>
        </is>
      </c>
    </row>
    <row r="4">
      <c r="A4" t="inlineStr">
        <is>
          <t>Wedding + reception</t>
        </is>
      </c>
      <c r="C4" t="inlineStr">
        <is>
          <t>Website form</t>
        </is>
      </c>
      <c r="E4" t="inlineStr">
        <is>
          <t>Quote sent</t>
        </is>
      </c>
      <c r="G4" t="inlineStr">
        <is>
          <t>Send price list / packages</t>
        </is>
      </c>
      <c r="I4" t="inlineStr">
        <is>
          <t>Due</t>
        </is>
      </c>
      <c r="K4" t="inlineStr">
        <is>
          <t>Closed - chose another vendor</t>
        </is>
      </c>
    </row>
    <row r="5">
      <c r="A5" t="inlineStr">
        <is>
          <t>Candid + cinematic video</t>
        </is>
      </c>
      <c r="C5" t="inlineStr">
        <is>
          <t>WhatsApp (direct)</t>
        </is>
      </c>
      <c r="E5" t="inlineStr">
        <is>
          <t>Call requested</t>
        </is>
      </c>
      <c r="G5" t="inlineStr">
        <is>
          <t>Send personalised quote</t>
        </is>
      </c>
      <c r="I5" t="inlineStr">
        <is>
          <t>Overdue</t>
        </is>
      </c>
      <c r="K5" t="inlineStr">
        <is>
          <t>Closed - date unavailable</t>
        </is>
      </c>
    </row>
    <row r="6">
      <c r="A6" t="inlineStr">
        <is>
          <t>Pre-wedding shoot</t>
        </is>
      </c>
      <c r="C6" t="inlineStr">
        <is>
          <t>Referral (past client)</t>
        </is>
      </c>
      <c r="E6" t="inlineStr">
        <is>
          <t>Call scheduled</t>
        </is>
      </c>
      <c r="G6" t="inlineStr">
        <is>
          <t>Send portfolio of similar wedding</t>
        </is>
      </c>
      <c r="I6" t="inlineStr">
        <is>
          <t>Waiting on client</t>
        </is>
      </c>
      <c r="K6" t="inlineStr">
        <is>
          <t>Closed - budget</t>
        </is>
      </c>
    </row>
    <row r="7">
      <c r="A7" t="inlineStr">
        <is>
          <t>Engagement only</t>
        </is>
      </c>
      <c r="C7" t="inlineStr">
        <is>
          <t>Referral (vendor)</t>
        </is>
      </c>
      <c r="E7" t="inlineStr">
        <is>
          <t>Clarification needed</t>
        </is>
      </c>
      <c r="G7" t="inlineStr">
        <is>
          <t>Confirm call slot</t>
        </is>
      </c>
      <c r="I7" t="inlineStr">
        <is>
          <t>Completed</t>
        </is>
      </c>
      <c r="K7" t="inlineStr">
        <is>
          <t>Closed - no response</t>
        </is>
      </c>
    </row>
    <row r="8">
      <c r="A8" t="inlineStr">
        <is>
          <t>Reception only</t>
        </is>
      </c>
      <c r="C8" t="inlineStr">
        <is>
          <t>Wedding portal</t>
        </is>
      </c>
      <c r="E8" t="inlineStr">
        <is>
          <t>Deciding / comparing</t>
        </is>
      </c>
      <c r="G8" t="inlineStr">
        <is>
          <t>Clarify package inclusions</t>
        </is>
      </c>
      <c r="I8" t="inlineStr">
        <is>
          <t>No follow-up needed</t>
        </is>
      </c>
      <c r="K8" t="inlineStr">
        <is>
          <t>Postponed by couple</t>
        </is>
      </c>
    </row>
    <row r="9">
      <c r="A9" t="inlineStr">
        <is>
          <t>Destination wedding</t>
        </is>
      </c>
      <c r="C9" t="inlineStr">
        <is>
          <t>Google / search</t>
        </is>
      </c>
      <c r="E9" t="inlineStr">
        <is>
          <t>Booked</t>
        </is>
      </c>
      <c r="G9" t="inlineStr">
        <is>
          <t>Gentle nudge (no price talk)</t>
        </is>
      </c>
      <c r="K9" t="inlineStr">
        <is>
          <t>Not proceeding (other)</t>
        </is>
      </c>
    </row>
    <row r="10">
      <c r="A10" t="inlineStr">
        <is>
          <t>Other (see notes)</t>
        </is>
      </c>
      <c r="C10" t="inlineStr">
        <is>
          <t>Other</t>
        </is>
      </c>
      <c r="E10" t="inlineStr">
        <is>
          <t>Dormant - no reply</t>
        </is>
      </c>
      <c r="G10" t="inlineStr">
        <is>
          <t>Send final follow-up</t>
        </is>
      </c>
    </row>
    <row r="11">
      <c r="E11" t="inlineStr">
        <is>
          <t>Closed - not proceeding</t>
        </is>
      </c>
      <c r="G11" t="inlineStr">
        <is>
          <t>Send booking confirmation + next steps</t>
        </is>
      </c>
    </row>
    <row r="12">
      <c r="G12" t="inlineStr">
        <is>
          <t>Send thank-you / stay in touch</t>
        </is>
      </c>
    </row>
    <row r="13">
      <c r="G13" t="inlineStr">
        <is>
          <t>No action needed</t>
        </is>
      </c>
    </row>
    <row r="14">
      <c r="G14" t="inlineStr">
        <is>
          <t>Manual review - decide yourself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27" customWidth="1" min="4" max="4"/>
    <col width="12" customWidth="1" min="5" max="5"/>
    <col width="22" customWidth="1" min="6" max="6"/>
    <col width="19" customWidth="1" min="7" max="7"/>
    <col width="13" customWidth="1" min="8" max="8"/>
    <col width="34" customWidth="1" min="9" max="9"/>
    <col width="13" customWidth="1" min="10" max="10"/>
    <col width="15" customWidth="1" min="11" max="11"/>
    <col width="20" customWidth="1" min="12" max="12"/>
    <col width="52" customWidth="1" min="13" max="13"/>
    <col width="12" customWidth="1" min="14" max="14"/>
    <col width="15" customWidth="1" min="15" max="15"/>
    <col width="11" customWidth="1" min="16" max="16"/>
  </cols>
  <sheetData>
    <row r="1" ht="18" customHeight="1">
      <c r="A1" s="5" t="inlineStr">
        <is>
          <t>FICTIONAL SAMPLE DATA - illustrative only. Replace with your own enquiries. Rule: initials or first names only - never phone numbers or email addresses.</t>
        </is>
      </c>
    </row>
    <row r="2" ht="40" customHeight="1">
      <c r="A2" s="6" t="inlineStr">
        <is>
          <t>Enquiry ID</t>
        </is>
      </c>
      <c r="B2" s="6" t="inlineStr">
        <is>
          <t>Received Date</t>
        </is>
      </c>
      <c r="C2" s="6" t="inlineStr">
        <is>
          <t>Client (initials)</t>
        </is>
      </c>
      <c r="D2" s="6" t="inlineStr">
        <is>
          <t>Requested Service</t>
        </is>
      </c>
      <c r="E2" s="6" t="inlineStr">
        <is>
          <t>Event Date</t>
        </is>
      </c>
      <c r="F2" s="6" t="inlineStr">
        <is>
          <t>Enquiry Source</t>
        </is>
      </c>
      <c r="G2" s="6" t="inlineStr">
        <is>
          <t>Enquiry Status</t>
        </is>
      </c>
      <c r="H2" s="6" t="inlineStr">
        <is>
          <t>Last Contact Date</t>
        </is>
      </c>
      <c r="I2" s="6" t="inlineStr">
        <is>
          <t>Next Action</t>
        </is>
      </c>
      <c r="J2" s="6" t="inlineStr">
        <is>
          <t>Follow-Up Due Date</t>
        </is>
      </c>
      <c r="K2" s="6" t="inlineStr">
        <is>
          <t>Follow-Up Status</t>
        </is>
      </c>
      <c r="L2" s="6" t="inlineStr">
        <is>
          <t>Outcome</t>
        </is>
      </c>
      <c r="M2" s="6" t="inlineStr">
        <is>
          <t>Notes (what was discussed, what they asked)</t>
        </is>
      </c>
      <c r="N2" s="6" t="inlineStr">
        <is>
          <t>Days Since Last Contact (auto)</t>
        </is>
      </c>
      <c r="O2" s="6" t="inlineStr">
        <is>
          <t>Priority (auto)</t>
        </is>
      </c>
      <c r="P2" s="6" t="inlineStr">
        <is>
          <t>Overdue? (auto)</t>
        </is>
      </c>
    </row>
    <row r="3">
      <c r="A3" s="7" t="inlineStr">
        <is>
          <t>ENQ-001</t>
        </is>
      </c>
      <c r="B3" s="8" t="n">
        <v>46267</v>
      </c>
      <c r="C3" s="7" t="inlineStr">
        <is>
          <t>A. &amp; S.</t>
        </is>
      </c>
      <c r="D3" s="7" t="inlineStr">
        <is>
          <t>Full wedding photography (2+ days)</t>
        </is>
      </c>
      <c r="E3" s="8" t="n">
        <v>46364</v>
      </c>
      <c r="F3" s="7" t="inlineStr">
        <is>
          <t>Instagram DM</t>
        </is>
      </c>
      <c r="G3" s="7" t="inlineStr">
        <is>
          <t>Quote sent</t>
        </is>
      </c>
      <c r="H3" s="8" t="n">
        <v>46270</v>
      </c>
      <c r="I3" s="7" t="inlineStr">
        <is>
          <t>Gentle nudge (no price talk)</t>
        </is>
      </c>
      <c r="J3" s="8" t="n">
        <v>46306</v>
      </c>
      <c r="K3" s="7" t="inlineStr">
        <is>
          <t>Overdue</t>
        </is>
      </c>
      <c r="L3" s="7" t="inlineStr">
        <is>
          <t>Open</t>
        </is>
      </c>
      <c r="M3" s="9" t="inlineStr">
        <is>
          <t>Loved the teaser reel. Asked about 2-day coverage. Price list sent; no reply since.</t>
        </is>
      </c>
      <c r="N3" s="10">
        <f>IF(H3="","",TODAY()-H3)</f>
        <v/>
      </c>
      <c r="O3" s="11">
        <f>IF(OR(K3="Overdue",K3="Due today"),"P1 - today",IF(OR(G3="Booked",LEFT(G3,6)="Closed"),"-",IF(LEFT(G3,7)="Dormant","P3 - when free",IF(AND(N3&lt;&gt;"",N3&gt;=7),"P2 - this week","P3 - when free"))))</f>
        <v/>
      </c>
      <c r="P3" s="11">
        <f>IF(OR(K3="Overdue",AND(J3&lt;&gt;"",J3&lt;TODAY(),NOT(LEFT(G3,6)="Closed"),G3&lt;&gt;"Booked")),"OVERDUE","")</f>
        <v/>
      </c>
    </row>
    <row r="4">
      <c r="A4" s="7" t="inlineStr">
        <is>
          <t>ENQ-002</t>
        </is>
      </c>
      <c r="B4" s="8" t="n">
        <v>46271</v>
      </c>
      <c r="C4" s="7" t="inlineStr">
        <is>
          <t>R.</t>
        </is>
      </c>
      <c r="D4" s="7" t="inlineStr">
        <is>
          <t>Pre-wedding shoot</t>
        </is>
      </c>
      <c r="E4" s="8" t="n">
        <v>46409</v>
      </c>
      <c r="F4" s="7" t="inlineStr">
        <is>
          <t>Website form</t>
        </is>
      </c>
      <c r="G4" s="7" t="inlineStr">
        <is>
          <t>Clarification needed</t>
        </is>
      </c>
      <c r="H4" s="8" t="n">
        <v>46283</v>
      </c>
      <c r="I4" s="7" t="inlineStr">
        <is>
          <t>Clarify package inclusions</t>
        </is>
      </c>
      <c r="J4" s="8" t="n">
        <v>46307</v>
      </c>
      <c r="K4" s="7" t="inlineStr">
        <is>
          <t>Due today</t>
        </is>
      </c>
      <c r="L4" s="7" t="inlineStr">
        <is>
          <t>Open</t>
        </is>
      </c>
      <c r="M4" s="9" t="inlineStr">
        <is>
          <t>Asked whether travel + stay is included for an outstation shoot. Needs a clear yes/no.</t>
        </is>
      </c>
      <c r="N4" s="10">
        <f>IF(H4="","",TODAY()-H4)</f>
        <v/>
      </c>
      <c r="O4" s="11">
        <f>IF(OR(K4="Overdue",K4="Due today"),"P1 - today",IF(OR(G4="Booked",LEFT(G4,6)="Closed"),"-",IF(LEFT(G4,7)="Dormant","P3 - when free",IF(AND(N4&lt;&gt;"",N4&gt;=7),"P2 - this week","P3 - when free"))))</f>
        <v/>
      </c>
      <c r="P4" s="11">
        <f>IF(OR(K4="Overdue",AND(J4&lt;&gt;"",J4&lt;TODAY(),NOT(LEFT(G4,6)="Closed"),G4&lt;&gt;"Booked")),"OVERDUE","")</f>
        <v/>
      </c>
    </row>
    <row r="5">
      <c r="A5" s="7" t="inlineStr">
        <is>
          <t>ENQ-003</t>
        </is>
      </c>
      <c r="B5" s="8" t="n">
        <v>46274</v>
      </c>
      <c r="C5" s="7" t="inlineStr">
        <is>
          <t>M. &amp; K.</t>
        </is>
      </c>
      <c r="D5" s="7" t="inlineStr">
        <is>
          <t>Candid + cinematic video</t>
        </is>
      </c>
      <c r="E5" s="8" t="n">
        <v>46354</v>
      </c>
      <c r="F5" s="7" t="inlineStr">
        <is>
          <t>WhatsApp (direct)</t>
        </is>
      </c>
      <c r="G5" s="7" t="inlineStr">
        <is>
          <t>Call requested</t>
        </is>
      </c>
      <c r="H5" s="8" t="n">
        <v>46303</v>
      </c>
      <c r="I5" s="7" t="inlineStr">
        <is>
          <t>Confirm call slot</t>
        </is>
      </c>
      <c r="J5" s="8" t="n">
        <v>46305</v>
      </c>
      <c r="K5" s="7" t="inlineStr">
        <is>
          <t>Overdue</t>
        </is>
      </c>
      <c r="L5" s="7" t="inlineStr">
        <is>
          <t>Open</t>
        </is>
      </c>
      <c r="M5" s="9" t="inlineStr">
        <is>
          <t>Wants a call before deciding. Prefers after 7pm on weekdays.</t>
        </is>
      </c>
      <c r="N5" s="10">
        <f>IF(H5="","",TODAY()-H5)</f>
        <v/>
      </c>
      <c r="O5" s="11">
        <f>IF(OR(K5="Overdue",K5="Due today"),"P1 - today",IF(OR(G5="Booked",LEFT(G5,6)="Closed"),"-",IF(LEFT(G5,7)="Dormant","P3 - when free",IF(AND(N5&lt;&gt;"",N5&gt;=7),"P2 - this week","P3 - when free"))))</f>
        <v/>
      </c>
      <c r="P5" s="11">
        <f>IF(OR(K5="Overdue",AND(J5&lt;&gt;"",J5&lt;TODAY(),NOT(LEFT(G5,6)="Closed"),G5&lt;&gt;"Booked")),"OVERDUE","")</f>
        <v/>
      </c>
    </row>
    <row r="6">
      <c r="A6" s="7" t="inlineStr">
        <is>
          <t>ENQ-004</t>
        </is>
      </c>
      <c r="B6" s="8" t="n">
        <v>46279</v>
      </c>
      <c r="C6" s="7" t="inlineStr">
        <is>
          <t>T.</t>
        </is>
      </c>
      <c r="D6" s="7" t="inlineStr">
        <is>
          <t>Reception only</t>
        </is>
      </c>
      <c r="E6" s="8" t="n">
        <v>46375</v>
      </c>
      <c r="F6" s="7" t="inlineStr">
        <is>
          <t>Instagram DM</t>
        </is>
      </c>
      <c r="G6" s="7" t="inlineStr">
        <is>
          <t>Deciding / comparing</t>
        </is>
      </c>
      <c r="H6" s="8" t="n">
        <v>46285</v>
      </c>
      <c r="I6" s="7" t="inlineStr">
        <is>
          <t>Send portfolio of similar wedding</t>
        </is>
      </c>
      <c r="J6" s="8" t="n">
        <v>46310</v>
      </c>
      <c r="K6" s="7" t="inlineStr">
        <is>
          <t>Due</t>
        </is>
      </c>
      <c r="L6" s="7" t="inlineStr">
        <is>
          <t>Open</t>
        </is>
      </c>
      <c r="M6" s="9" t="inlineStr">
        <is>
          <t>"Still deciding between two photographers." Budget seems fine. Comparing album quality.</t>
        </is>
      </c>
      <c r="N6" s="10">
        <f>IF(H6="","",TODAY()-H6)</f>
        <v/>
      </c>
      <c r="O6" s="11">
        <f>IF(OR(K6="Overdue",K6="Due today"),"P1 - today",IF(OR(G6="Booked",LEFT(G6,6)="Closed"),"-",IF(LEFT(G6,7)="Dormant","P3 - when free",IF(AND(N6&lt;&gt;"",N6&gt;=7),"P2 - this week","P3 - when free"))))</f>
        <v/>
      </c>
      <c r="P6" s="11">
        <f>IF(OR(K6="Overdue",AND(J6&lt;&gt;"",J6&lt;TODAY(),NOT(LEFT(G6,6)="Closed"),G6&lt;&gt;"Booked")),"OVERDUE","")</f>
        <v/>
      </c>
    </row>
    <row r="7">
      <c r="A7" s="7" t="inlineStr">
        <is>
          <t>ENQ-005</t>
        </is>
      </c>
      <c r="B7" s="8" t="n">
        <v>46286</v>
      </c>
      <c r="C7" s="7" t="inlineStr">
        <is>
          <t>P. &amp; N.</t>
        </is>
      </c>
      <c r="D7" s="7" t="inlineStr">
        <is>
          <t>Full wedding photography (2+ days)</t>
        </is>
      </c>
      <c r="E7" s="8" t="n">
        <v>46422</v>
      </c>
      <c r="F7" s="7" t="inlineStr">
        <is>
          <t>Referral (past client)</t>
        </is>
      </c>
      <c r="G7" s="7" t="inlineStr">
        <is>
          <t>Awaiting reply</t>
        </is>
      </c>
      <c r="H7" s="8" t="n">
        <v>46295</v>
      </c>
      <c r="I7" s="7" t="inlineStr">
        <is>
          <t>Send final follow-up</t>
        </is>
      </c>
      <c r="J7" s="8" t="n">
        <v>46309</v>
      </c>
      <c r="K7" s="7" t="inlineStr">
        <is>
          <t>Due</t>
        </is>
      </c>
      <c r="L7" s="7" t="inlineStr">
        <is>
          <t>Open</t>
        </is>
      </c>
      <c r="M7" s="9" t="inlineStr">
        <is>
          <t>Referred by a 2025 client. First reply was warm, then went quiet for 12 days.</t>
        </is>
      </c>
      <c r="N7" s="10">
        <f>IF(H7="","",TODAY()-H7)</f>
        <v/>
      </c>
      <c r="O7" s="11">
        <f>IF(OR(K7="Overdue",K7="Due today"),"P1 - today",IF(OR(G7="Booked",LEFT(G7,6)="Closed"),"-",IF(LEFT(G7,7)="Dormant","P3 - when free",IF(AND(N7&lt;&gt;"",N7&gt;=7),"P2 - this week","P3 - when free"))))</f>
        <v/>
      </c>
      <c r="P7" s="11">
        <f>IF(OR(K7="Overdue",AND(J7&lt;&gt;"",J7&lt;TODAY(),NOT(LEFT(G7,6)="Closed"),G7&lt;&gt;"Booked")),"OVERDUE","")</f>
        <v/>
      </c>
    </row>
    <row r="8">
      <c r="A8" s="7" t="inlineStr">
        <is>
          <t>ENQ-006</t>
        </is>
      </c>
      <c r="B8" s="8" t="n">
        <v>46245</v>
      </c>
      <c r="C8" s="7" t="inlineStr">
        <is>
          <t>D.</t>
        </is>
      </c>
      <c r="D8" s="7" t="inlineStr">
        <is>
          <t>Engagement only</t>
        </is>
      </c>
      <c r="E8" s="8" t="n">
        <v>46320</v>
      </c>
      <c r="F8" s="7" t="inlineStr">
        <is>
          <t>Wedding portal</t>
        </is>
      </c>
      <c r="G8" s="7" t="inlineStr">
        <is>
          <t>Dormant - no reply</t>
        </is>
      </c>
      <c r="H8" s="8" t="n">
        <v>46258</v>
      </c>
      <c r="I8" s="7" t="inlineStr">
        <is>
          <t>Send final follow-up</t>
        </is>
      </c>
      <c r="J8" s="8" t="n">
        <v>46305</v>
      </c>
      <c r="K8" s="7" t="inlineStr">
        <is>
          <t>Overdue</t>
        </is>
      </c>
      <c r="L8" s="7" t="inlineStr">
        <is>
          <t>Open</t>
        </is>
      </c>
      <c r="M8" s="9" t="inlineStr">
        <is>
          <t>No reply to 2 messages. Send ONE final polite message, then close the enquiry.</t>
        </is>
      </c>
      <c r="N8" s="10">
        <f>IF(H8="","",TODAY()-H8)</f>
        <v/>
      </c>
      <c r="O8" s="11">
        <f>IF(OR(K8="Overdue",K8="Due today"),"P1 - today",IF(OR(G8="Booked",LEFT(G8,6)="Closed"),"-",IF(LEFT(G8,7)="Dormant","P3 - when free",IF(AND(N8&lt;&gt;"",N8&gt;=7),"P2 - this week","P3 - when free"))))</f>
        <v/>
      </c>
      <c r="P8" s="11">
        <f>IF(OR(K8="Overdue",AND(J8&lt;&gt;"",J8&lt;TODAY(),NOT(LEFT(G8,6)="Closed"),G8&lt;&gt;"Booked")),"OVERDUE","")</f>
        <v/>
      </c>
    </row>
    <row r="9">
      <c r="A9" s="7" t="inlineStr">
        <is>
          <t>ENQ-007</t>
        </is>
      </c>
      <c r="B9" s="8" t="n">
        <v>46264</v>
      </c>
      <c r="C9" s="7" t="inlineStr">
        <is>
          <t>V. &amp; A.</t>
        </is>
      </c>
      <c r="D9" s="7" t="inlineStr">
        <is>
          <t>Wedding + reception</t>
        </is>
      </c>
      <c r="E9" s="8" t="n">
        <v>46341</v>
      </c>
      <c r="F9" s="7" t="inlineStr">
        <is>
          <t>Instagram DM</t>
        </is>
      </c>
      <c r="G9" s="7" t="inlineStr">
        <is>
          <t>Booked</t>
        </is>
      </c>
      <c r="H9" s="8" t="n">
        <v>46266</v>
      </c>
      <c r="I9" s="7" t="inlineStr">
        <is>
          <t>Send booking confirmation + next steps</t>
        </is>
      </c>
      <c r="J9" s="8" t="n">
        <v>46267</v>
      </c>
      <c r="K9" s="7" t="inlineStr">
        <is>
          <t>Completed</t>
        </is>
      </c>
      <c r="L9" s="7" t="inlineStr">
        <is>
          <t>Booked</t>
        </is>
      </c>
      <c r="M9" s="9" t="inlineStr">
        <is>
          <t>Advance received and date blocked. Style reference folder shared.</t>
        </is>
      </c>
      <c r="N9" s="10">
        <f>IF(H9="","",TODAY()-H9)</f>
        <v/>
      </c>
      <c r="O9" s="11">
        <f>IF(OR(K9="Overdue",K9="Due today"),"P1 - today",IF(OR(G9="Booked",LEFT(G9,6)="Closed"),"-",IF(LEFT(G9,7)="Dormant","P3 - when free",IF(AND(N9&lt;&gt;"",N9&gt;=7),"P2 - this week","P3 - when free"))))</f>
        <v/>
      </c>
      <c r="P9" s="11">
        <f>IF(OR(K9="Overdue",AND(J9&lt;&gt;"",J9&lt;TODAY(),NOT(LEFT(G9,6)="Closed"),G9&lt;&gt;"Booked")),"OVERDUE","")</f>
        <v/>
      </c>
    </row>
    <row r="10">
      <c r="A10" s="7" t="inlineStr">
        <is>
          <t>ENQ-008</t>
        </is>
      </c>
      <c r="B10" s="8" t="n">
        <v>46222</v>
      </c>
      <c r="C10" s="7" t="inlineStr">
        <is>
          <t>S.</t>
        </is>
      </c>
      <c r="D10" s="7" t="inlineStr">
        <is>
          <t>Wedding + reception</t>
        </is>
      </c>
      <c r="E10" s="8" t="n">
        <v>46299</v>
      </c>
      <c r="F10" s="7" t="inlineStr">
        <is>
          <t>Website form</t>
        </is>
      </c>
      <c r="G10" s="7" t="inlineStr">
        <is>
          <t>Closed - not proceeding</t>
        </is>
      </c>
      <c r="H10" s="8" t="n">
        <v>46228</v>
      </c>
      <c r="I10" s="7" t="inlineStr">
        <is>
          <t>Send thank-you / stay in touch</t>
        </is>
      </c>
      <c r="J10" s="8" t="n">
        <v>46229</v>
      </c>
      <c r="K10" s="7" t="inlineStr">
        <is>
          <t>Completed</t>
        </is>
      </c>
      <c r="L10" s="7" t="inlineStr">
        <is>
          <t>Closed - chose another vendor</t>
        </is>
      </c>
      <c r="M10" s="9" t="inlineStr">
        <is>
          <t>Booked a family friend. Explicitly said to stay in touch for 2027 - keep the door open.</t>
        </is>
      </c>
      <c r="N10" s="10">
        <f>IF(H10="","",TODAY()-H10)</f>
        <v/>
      </c>
      <c r="O10" s="11">
        <f>IF(OR(K10="Overdue",K10="Due today"),"P1 - today",IF(OR(G10="Booked",LEFT(G10,6)="Closed"),"-",IF(LEFT(G10,7)="Dormant","P3 - when free",IF(AND(N10&lt;&gt;"",N10&gt;=7),"P2 - this week","P3 - when free"))))</f>
        <v/>
      </c>
      <c r="P10" s="11">
        <f>IF(OR(K10="Overdue",AND(J10&lt;&gt;"",J10&lt;TODAY(),NOT(LEFT(G10,6)="Closed"),G10&lt;&gt;"Booked")),"OVERDUE","")</f>
        <v/>
      </c>
    </row>
    <row r="11">
      <c r="A11" s="7" t="inlineStr">
        <is>
          <t>ENQ-009</t>
        </is>
      </c>
      <c r="B11" s="8" t="n">
        <v>46301</v>
      </c>
      <c r="C11" s="7" t="inlineStr">
        <is>
          <t>H. &amp; J.</t>
        </is>
      </c>
      <c r="D11" s="7" t="inlineStr">
        <is>
          <t>Destination wedding</t>
        </is>
      </c>
      <c r="E11" s="8" t="n">
        <v>46458</v>
      </c>
      <c r="F11" s="7" t="inlineStr">
        <is>
          <t>Instagram comment / story reply</t>
        </is>
      </c>
      <c r="G11" s="7" t="inlineStr">
        <is>
          <t>New enquiry</t>
        </is>
      </c>
      <c r="H11" s="8" t="n">
        <v>46301</v>
      </c>
      <c r="I11" s="7" t="inlineStr">
        <is>
          <t>Reply with welcome message + 3 questions</t>
        </is>
      </c>
      <c r="J11" s="8" t="n">
        <v>46306</v>
      </c>
      <c r="K11" s="7" t="inlineStr">
        <is>
          <t>Overdue</t>
        </is>
      </c>
      <c r="L11" s="7" t="inlineStr">
        <is>
          <t>Open</t>
        </is>
      </c>
      <c r="M11" s="9" t="inlineStr">
        <is>
          <t>Commented on a Goa wedding reel, then DMed. Needs a first reply - highest priority.</t>
        </is>
      </c>
      <c r="N11" s="10">
        <f>IF(H11="","",TODAY()-H11)</f>
        <v/>
      </c>
      <c r="O11" s="11">
        <f>IF(OR(K11="Overdue",K11="Due today"),"P1 - today",IF(OR(G11="Booked",LEFT(G11,6)="Closed"),"-",IF(LEFT(G11,7)="Dormant","P3 - when free",IF(AND(N11&lt;&gt;"",N11&gt;=7),"P2 - this week","P3 - when free"))))</f>
        <v/>
      </c>
      <c r="P11" s="11">
        <f>IF(OR(K11="Overdue",AND(J11&lt;&gt;"",J11&lt;TODAY(),NOT(LEFT(G11,6)="Closed"),G11&lt;&gt;"Booked")),"OVERDUE","")</f>
        <v/>
      </c>
    </row>
    <row r="12">
      <c r="A12" s="7" t="inlineStr">
        <is>
          <t>ENQ-010</t>
        </is>
      </c>
      <c r="B12" s="8" t="n">
        <v>46290</v>
      </c>
      <c r="C12" s="7" t="inlineStr">
        <is>
          <t>N. &amp; B.</t>
        </is>
      </c>
      <c r="D12" s="7" t="inlineStr">
        <is>
          <t>Full wedding photography (1 day)</t>
        </is>
      </c>
      <c r="E12" s="8" t="n">
        <v>46383</v>
      </c>
      <c r="F12" s="7" t="inlineStr">
        <is>
          <t>Google / search</t>
        </is>
      </c>
      <c r="G12" s="7" t="inlineStr">
        <is>
          <t>Call scheduled</t>
        </is>
      </c>
      <c r="H12" s="8" t="n">
        <v>46302</v>
      </c>
      <c r="I12" s="7" t="inlineStr">
        <is>
          <t>Send price list / packages</t>
        </is>
      </c>
      <c r="J12" s="8" t="n">
        <v>46313</v>
      </c>
      <c r="K12" s="7" t="inlineStr">
        <is>
          <t>Due</t>
        </is>
      </c>
      <c r="L12" s="7" t="inlineStr">
        <is>
          <t>Open</t>
        </is>
      </c>
      <c r="M12" s="9" t="inlineStr">
        <is>
          <t>Call booked for next week. Asked for the price list before the call.</t>
        </is>
      </c>
      <c r="N12" s="10">
        <f>IF(H12="","",TODAY()-H12)</f>
        <v/>
      </c>
      <c r="O12" s="11">
        <f>IF(OR(K12="Overdue",K12="Due today"),"P1 - today",IF(OR(G12="Booked",LEFT(G12,6)="Closed"),"-",IF(LEFT(G12,7)="Dormant","P3 - when free",IF(AND(N12&lt;&gt;"",N12&gt;=7),"P2 - this week","P3 - when free"))))</f>
        <v/>
      </c>
      <c r="P12" s="11">
        <f>IF(OR(K12="Overdue",AND(J12&lt;&gt;"",J12&lt;TODAY(),NOT(LEFT(G12,6)="Closed"),G12&lt;&gt;"Booked")),"OVERDUE","")</f>
        <v/>
      </c>
    </row>
  </sheetData>
  <autoFilter ref="A2:P500"/>
  <mergeCells count="1">
    <mergeCell ref="A1:P1"/>
  </mergeCells>
  <conditionalFormatting sqref="G3:G500">
    <cfRule type="expression" priority="1" dxfId="0">
      <formula>$G3="New enquiry"</formula>
    </cfRule>
    <cfRule type="expression" priority="2" dxfId="1">
      <formula>$G3="Booked"</formula>
    </cfRule>
    <cfRule type="expression" priority="3" dxfId="2">
      <formula>OR($G3="Dormant - no reply",$G3="Closed - not proceeding")</formula>
    </cfRule>
    <cfRule type="expression" priority="4" dxfId="3">
      <formula>OR($G3="Call requested",$G3="Clarification needed")</formula>
    </cfRule>
    <cfRule type="expression" priority="5" dxfId="4">
      <formula>OR($G3="Quote sent",$G3="Deciding / comparing",$G3="Awaiting reply")</formula>
    </cfRule>
  </conditionalFormatting>
  <conditionalFormatting sqref="P3:P500">
    <cfRule type="expression" priority="6" dxfId="5">
      <formula>$P3="OVERDUE"</formula>
    </cfRule>
  </conditionalFormatting>
  <conditionalFormatting sqref="O3:O500">
    <cfRule type="expression" priority="7" dxfId="5">
      <formula>$O3="P1 - today"</formula>
    </cfRule>
    <cfRule type="expression" priority="8" dxfId="3">
      <formula>$O3="P2 - this week"</formula>
    </cfRule>
  </conditionalFormatting>
  <conditionalFormatting sqref="J3:J500">
    <cfRule type="expression" priority="9" dxfId="6">
      <formula>AND($J3&lt;&gt;"",$J3&lt;TODAY())</formula>
    </cfRule>
    <cfRule type="expression" priority="10" dxfId="3">
      <formula>$J3=TODAY()</formula>
    </cfRule>
  </conditionalFormatting>
  <conditionalFormatting sqref="E3:E500">
    <cfRule type="expression" priority="11" dxfId="7">
      <formula>AND($E3&lt;&gt;"",$E3&gt;=TODAY(),$E3&lt;=TODAY()+30)</formula>
    </cfRule>
  </conditionalFormatting>
  <dataValidations count="6">
    <dataValidation sqref="D3:D500" showDropDown="0" showInputMessage="0" showErrorMessage="0" allowBlank="1" errorTitle="Use the dropdown" error="Please choose one of the standard values so the dashboard keeps working." promptTitle="Requested service" prompt="Pick the closest match." type="list">
      <formula1>Lists!$A$2:$A$10</formula1>
    </dataValidation>
    <dataValidation sqref="F3:F500" showDropDown="0" showInputMessage="0" showErrorMessage="0" allowBlank="1" errorTitle="Use the dropdown" error="Please choose one of the standard values so the dashboard keeps working." promptTitle="Enquiry source" prompt="Where did this enquiry come from?" type="list">
      <formula1>Lists!$C$2:$C$10</formula1>
    </dataValidation>
    <dataValidation sqref="G3:G500" showDropDown="0" showInputMessage="0" showErrorMessage="0" allowBlank="1" errorTitle="Use the dropdown" error="Please choose one of the standard values so the dashboard keeps working." promptTitle="Enquiry status" prompt="Where does this enquiry stand right now?" type="list">
      <formula1>Lists!$E$2:$E$11</formula1>
    </dataValidation>
    <dataValidation sqref="I3:I500" showDropDown="0" showInputMessage="0" showErrorMessage="0" allowBlank="1" errorTitle="Use the dropdown" error="Please choose one of the standard values so the dashboard keeps working." promptTitle="Next action" prompt="What is the very next thing to do?" type="list">
      <formula1>Lists!$G$2:$G$14</formula1>
    </dataValidation>
    <dataValidation sqref="K3:K500" showDropDown="0" showInputMessage="0" showErrorMessage="0" allowBlank="1" errorTitle="Use the dropdown" error="Please choose one of the standard values so the dashboard keeps working." promptTitle="Follow-up status" prompt="Has the follow-up been done, is it due, or is it late?" type="list">
      <formula1>Lists!$I$2:$I$8</formula1>
    </dataValidation>
    <dataValidation sqref="L3:L500" showDropDown="0" showInputMessage="0" showErrorMessage="0" allowBlank="1" errorTitle="Use the dropdown" error="Please choose one of the standard values so the dashboard keeps working." promptTitle="Outcome" prompt="Open until something final happens." type="list">
      <formula1>Lists!$K$2:$K$9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34" customWidth="1" min="3" max="3"/>
    <col width="30" customWidth="1" min="4" max="4"/>
    <col width="14" customWidth="1" min="5" max="5"/>
  </cols>
  <sheetData>
    <row r="1">
      <c r="A1" s="12" t="inlineStr">
        <is>
          <t>STATUS, NEXT ACTION AND FOLLOW-UP GUIDE</t>
        </is>
      </c>
    </row>
    <row r="3" ht="34" customHeight="1">
      <c r="A3" s="6" t="inlineStr">
        <is>
          <t>Enquiry Status</t>
        </is>
      </c>
      <c r="B3" s="6" t="inlineStr">
        <is>
          <t>What it means</t>
        </is>
      </c>
      <c r="C3" s="6" t="inlineStr">
        <is>
          <t>Default next action</t>
        </is>
      </c>
      <c r="D3" s="6" t="inlineStr">
        <is>
          <t>Follow-up timing</t>
        </is>
      </c>
      <c r="E3" s="6" t="inlineStr">
        <is>
          <t>Auto priority</t>
        </is>
      </c>
    </row>
    <row r="4">
      <c r="A4" s="9" t="inlineStr">
        <is>
          <t>New enquiry</t>
        </is>
      </c>
      <c r="B4" s="9" t="inlineStr">
        <is>
          <t>Arrived and has had no reply from you yet</t>
        </is>
      </c>
      <c r="C4" s="9" t="inlineStr">
        <is>
          <t>Reply with welcome message + 3 questions</t>
        </is>
      </c>
      <c r="D4" s="9" t="inlineStr">
        <is>
          <t>Within 24 hours, ideally same day</t>
        </is>
      </c>
      <c r="E4" s="9" t="inlineStr">
        <is>
          <t>P1 - today</t>
        </is>
      </c>
    </row>
    <row r="5">
      <c r="A5" s="9" t="inlineStr">
        <is>
          <t>Awaiting reply</t>
        </is>
      </c>
      <c r="B5" s="9" t="inlineStr">
        <is>
          <t>You replied; they have not come back</t>
        </is>
      </c>
      <c r="C5" s="9" t="inlineStr">
        <is>
          <t>Gentle nudge (no price talk)</t>
        </is>
      </c>
      <c r="D5" s="9" t="inlineStr">
        <is>
          <t>3-4 days after your reply</t>
        </is>
      </c>
      <c r="E5" s="9" t="inlineStr">
        <is>
          <t>P2 - this week</t>
        </is>
      </c>
    </row>
    <row r="6">
      <c r="A6" s="9" t="inlineStr">
        <is>
          <t>Quote sent</t>
        </is>
      </c>
      <c r="B6" s="9" t="inlineStr">
        <is>
          <t>Price list or personalised quote is with them</t>
        </is>
      </c>
      <c r="C6" s="9" t="inlineStr">
        <is>
          <t>Gentle nudge (no price talk)</t>
        </is>
      </c>
      <c r="D6" s="9" t="inlineStr">
        <is>
          <t>3 days, then 7 days</t>
        </is>
      </c>
      <c r="E6" s="9" t="inlineStr">
        <is>
          <t>P2 - this week</t>
        </is>
      </c>
    </row>
    <row r="7">
      <c r="A7" s="9" t="inlineStr">
        <is>
          <t>Call requested</t>
        </is>
      </c>
      <c r="B7" s="9" t="inlineStr">
        <is>
          <t>They asked to talk; no confirmed slot yet</t>
        </is>
      </c>
      <c r="C7" s="9" t="inlineStr">
        <is>
          <t>Confirm call slot</t>
        </is>
      </c>
      <c r="D7" s="9" t="inlineStr">
        <is>
          <t>Same day</t>
        </is>
      </c>
      <c r="E7" s="9" t="inlineStr">
        <is>
          <t>P1 - today</t>
        </is>
      </c>
    </row>
    <row r="8">
      <c r="A8" s="9" t="inlineStr">
        <is>
          <t>Call scheduled</t>
        </is>
      </c>
      <c r="B8" s="9" t="inlineStr">
        <is>
          <t>A date and time is fixed</t>
        </is>
      </c>
      <c r="C8" s="9" t="inlineStr">
        <is>
          <t>Send price list / packages</t>
        </is>
      </c>
      <c r="D8" s="9" t="inlineStr">
        <is>
          <t>Before the call</t>
        </is>
      </c>
      <c r="E8" s="9" t="inlineStr">
        <is>
          <t>P2 - this week</t>
        </is>
      </c>
    </row>
    <row r="9">
      <c r="A9" s="9" t="inlineStr">
        <is>
          <t>Clarification needed</t>
        </is>
      </c>
      <c r="B9" s="9" t="inlineStr">
        <is>
          <t>A specific question is unanswered (album, travel, hours)</t>
        </is>
      </c>
      <c r="C9" s="9" t="inlineStr">
        <is>
          <t>Clarify package inclusions</t>
        </is>
      </c>
      <c r="D9" s="9" t="inlineStr">
        <is>
          <t>Within 24-48 hours</t>
        </is>
      </c>
      <c r="E9" s="9" t="inlineStr">
        <is>
          <t>P1 - today</t>
        </is>
      </c>
    </row>
    <row r="10">
      <c r="A10" s="9" t="inlineStr">
        <is>
          <t>Deciding / comparing</t>
        </is>
      </c>
      <c r="B10" s="9" t="inlineStr">
        <is>
          <t>Comparing you with other photographers; no decision yet</t>
        </is>
      </c>
      <c r="C10" s="9" t="inlineStr">
        <is>
          <t>Send portfolio of similar wedding</t>
        </is>
      </c>
      <c r="D10" s="9" t="inlineStr">
        <is>
          <t>3 days, then 7 days</t>
        </is>
      </c>
      <c r="E10" s="9" t="inlineStr">
        <is>
          <t>P2 - this week</t>
        </is>
      </c>
    </row>
    <row r="11">
      <c r="A11" s="9" t="inlineStr">
        <is>
          <t>Booked</t>
        </is>
      </c>
      <c r="B11" s="9" t="inlineStr">
        <is>
          <t>Advance received / date blocked</t>
        </is>
      </c>
      <c r="C11" s="9" t="inlineStr">
        <is>
          <t>Send booking confirmation + next steps</t>
        </is>
      </c>
      <c r="D11" s="9" t="inlineStr">
        <is>
          <t>No selling follow-up needed</t>
        </is>
      </c>
      <c r="E11" s="9" t="inlineStr">
        <is>
          <t>-</t>
        </is>
      </c>
    </row>
    <row r="12">
      <c r="A12" s="9" t="inlineStr">
        <is>
          <t>Dormant - no reply</t>
        </is>
      </c>
      <c r="B12" s="9" t="inlineStr">
        <is>
          <t>Silent after your final message</t>
        </is>
      </c>
      <c r="C12" s="9" t="inlineStr">
        <is>
          <t>Send final follow-up</t>
        </is>
      </c>
      <c r="D12" s="9" t="inlineStr">
        <is>
          <t>ONE final message, then STOP and close</t>
        </is>
      </c>
      <c r="E12" s="9" t="inlineStr">
        <is>
          <t>P3 - when free</t>
        </is>
      </c>
    </row>
    <row r="13">
      <c r="A13" s="9" t="inlineStr">
        <is>
          <t>Closed - not proceeding</t>
        </is>
      </c>
      <c r="B13" s="9" t="inlineStr">
        <is>
          <t>Final no, or they booked elsewhere</t>
        </is>
      </c>
      <c r="C13" s="9" t="inlineStr">
        <is>
          <t>Send thank-you / stay in touch</t>
        </is>
      </c>
      <c r="D13" s="9" t="inlineStr">
        <is>
          <t>None. Do not chase.</t>
        </is>
      </c>
      <c r="E13" s="9" t="inlineStr">
        <is>
          <t>-</t>
        </is>
      </c>
    </row>
    <row r="16">
      <c r="A16" s="13" t="inlineStr">
        <is>
          <t>THE STOP RULES (never break these)</t>
        </is>
      </c>
    </row>
    <row r="17">
      <c r="A17" s="14" t="inlineStr">
        <is>
          <t>1. If someone says they are not interested, or asks you to stop messaging: stop. Mark it Closed and never message them again.</t>
        </is>
      </c>
    </row>
    <row r="18">
      <c r="A18" s="14" t="inlineStr">
        <is>
          <t>2. Maximum 3 follow-ups per enquiry after your first reply. Then close it.</t>
        </is>
      </c>
    </row>
    <row r="19">
      <c r="A19" s="14" t="inlineStr">
        <is>
          <t>3. Never send two messages to the same person in one day.</t>
        </is>
      </c>
    </row>
    <row r="20">
      <c r="A20" s="14" t="inlineStr">
        <is>
          <t>4. Never send price-related follow-ups more than twice. If they wanted the price, they already have it.</t>
        </is>
      </c>
    </row>
    <row r="21">
      <c r="A21" s="14" t="inlineStr">
        <is>
          <t>5. Zero pressure. If an enquiry needs pressure to survive, it was never a booking.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3" customWidth="1" min="3" max="3"/>
    <col width="38" customWidth="1" min="4" max="4"/>
    <col width="12" customWidth="1" min="5" max="5"/>
  </cols>
  <sheetData>
    <row r="1">
      <c r="A1" s="12" t="inlineStr">
        <is>
          <t>DASHBOARD - live counts from the Tracker tab</t>
        </is>
      </c>
    </row>
    <row r="2">
      <c r="A2" s="15" t="inlineStr">
        <is>
          <t>These numbers change automatically when you change the dropdowns on the Tracker tab.</t>
        </is>
      </c>
    </row>
    <row r="4">
      <c r="A4" s="16" t="inlineStr">
        <is>
          <t>Enquiries by status</t>
        </is>
      </c>
      <c r="D4" s="16" t="inlineStr">
        <is>
          <t>At-a-glance numbers</t>
        </is>
      </c>
    </row>
    <row r="5">
      <c r="A5" s="17" t="inlineStr">
        <is>
          <t>New enquiry</t>
        </is>
      </c>
      <c r="B5" s="18">
        <f>COUNTIF(Tracker!$G$3:$G$500,A5)</f>
        <v/>
      </c>
      <c r="D5" s="17" t="inlineStr">
        <is>
          <t>Total enquiries tracked</t>
        </is>
      </c>
      <c r="E5" s="19">
        <f>COUNTA(Tracker!$A$3:$A$500)</f>
        <v/>
      </c>
    </row>
    <row r="6">
      <c r="A6" s="17" t="inlineStr">
        <is>
          <t>Awaiting reply</t>
        </is>
      </c>
      <c r="B6" s="18">
        <f>COUNTIF(Tracker!$G$3:$G$500,A6)</f>
        <v/>
      </c>
      <c r="D6" s="17" t="inlineStr">
        <is>
          <t>Open enquiries (need attention)</t>
        </is>
      </c>
      <c r="E6" s="19">
        <f>COUNTIF(Tracker!$L$3:$L$500,"Open")</f>
        <v/>
      </c>
    </row>
    <row r="7">
      <c r="A7" s="17" t="inlineStr">
        <is>
          <t>Quote sent</t>
        </is>
      </c>
      <c r="B7" s="18">
        <f>COUNTIF(Tracker!$G$3:$G$500,A7)</f>
        <v/>
      </c>
      <c r="D7" s="17" t="inlineStr">
        <is>
          <t>OVERDUE follow-ups</t>
        </is>
      </c>
      <c r="E7" s="19">
        <f>COUNTIF(Tracker!$P$3:$P$500,"OVERDUE")</f>
        <v/>
      </c>
    </row>
    <row r="8">
      <c r="A8" s="17" t="inlineStr">
        <is>
          <t>Call requested</t>
        </is>
      </c>
      <c r="B8" s="18">
        <f>COUNTIF(Tracker!$G$3:$G$500,A8)</f>
        <v/>
      </c>
      <c r="D8" s="17" t="inlineStr">
        <is>
          <t>Due today</t>
        </is>
      </c>
      <c r="E8" s="19">
        <f>COUNTIF(Tracker!$K$3:$K$500,"Due today")</f>
        <v/>
      </c>
    </row>
    <row r="9">
      <c r="A9" s="17" t="inlineStr">
        <is>
          <t>Call scheduled</t>
        </is>
      </c>
      <c r="B9" s="18">
        <f>COUNTIF(Tracker!$G$3:$G$500,A9)</f>
        <v/>
      </c>
      <c r="D9" s="17" t="inlineStr">
        <is>
          <t>P1 - do today</t>
        </is>
      </c>
      <c r="E9" s="19">
        <f>COUNTIF(Tracker!$O$3:$O$500,"P1 - today")</f>
        <v/>
      </c>
    </row>
    <row r="10">
      <c r="A10" s="17" t="inlineStr">
        <is>
          <t>Clarification needed</t>
        </is>
      </c>
      <c r="B10" s="18">
        <f>COUNTIF(Tracker!$G$3:$G$500,A10)</f>
        <v/>
      </c>
      <c r="D10" s="17" t="inlineStr">
        <is>
          <t>New enquiries not yet answered</t>
        </is>
      </c>
      <c r="E10" s="19">
        <f>COUNTIF(Tracker!$G$3:$G$500,"New enquiry")</f>
        <v/>
      </c>
    </row>
    <row r="11">
      <c r="A11" s="17" t="inlineStr">
        <is>
          <t>Deciding / comparing</t>
        </is>
      </c>
      <c r="B11" s="18">
        <f>COUNTIF(Tracker!$G$3:$G$500,A11)</f>
        <v/>
      </c>
      <c r="D11" s="17" t="inlineStr">
        <is>
          <t>Booked</t>
        </is>
      </c>
      <c r="E11" s="19">
        <f>COUNTIF(Tracker!$L$3:$L$500,"Booked")</f>
        <v/>
      </c>
    </row>
    <row r="12">
      <c r="A12" s="17" t="inlineStr">
        <is>
          <t>Booked</t>
        </is>
      </c>
      <c r="B12" s="18">
        <f>COUNTIF(Tracker!$G$3:$G$500,A12)</f>
        <v/>
      </c>
      <c r="D12" s="17" t="inlineStr">
        <is>
          <t>Closed - no response</t>
        </is>
      </c>
      <c r="E12" s="19">
        <f>COUNTIF(Tracker!$L$3:$L$500,"Closed - no response")</f>
        <v/>
      </c>
    </row>
    <row r="13">
      <c r="A13" s="17" t="inlineStr">
        <is>
          <t>Dormant - no reply</t>
        </is>
      </c>
      <c r="B13" s="18">
        <f>COUNTIF(Tracker!$G$3:$G$500,A13)</f>
        <v/>
      </c>
      <c r="D13" s="17" t="inlineStr">
        <is>
          <t>Weddings in the next 30 days</t>
        </is>
      </c>
      <c r="E13" s="19">
        <f>SUMPRODUCT((Tracker!$E$3:$E$500&gt;=TODAY())*(Tracker!$E$3:$E$500&lt;=TODAY()+30))</f>
        <v/>
      </c>
    </row>
    <row r="14">
      <c r="A14" s="17" t="inlineStr">
        <is>
          <t>Closed - not proceeding</t>
        </is>
      </c>
      <c r="B14" s="18">
        <f>COUNTIF(Tracker!$G$3:$G$500,A14)</f>
        <v/>
      </c>
    </row>
    <row r="17">
      <c r="A17" s="20" t="inlineStr">
        <is>
          <t>How to read this: if 'OVERDUE follow-ups' and 'P1 - do today' are both zero, your list is under control. If they keep growing, the 7-day workflow is not being run - open 7-Day-Follow-Up-Workflow and do the Wednesday and Friday blocks.</t>
        </is>
      </c>
    </row>
    <row r="18"/>
  </sheetData>
  <mergeCells count="1">
    <mergeCell ref="A17:E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HOW TO USE THIS IN GOOGLE SHEETS (your clients probably will)</t>
        </is>
      </c>
    </row>
    <row r="2">
      <c r="A2" t="inlineStr"/>
    </row>
    <row r="3">
      <c r="A3" s="3" t="inlineStr">
        <is>
          <t>Option 1 - import the CSV (fastest, recommended):</t>
        </is>
      </c>
    </row>
    <row r="4">
      <c r="A4" t="inlineStr">
        <is>
          <t xml:space="preserve">  1. Google Sheets &gt; File &gt; Import &gt; Upload &gt; choose 'enquiry-tracker-import.csv'</t>
        </is>
      </c>
    </row>
    <row r="5">
      <c r="A5" t="inlineStr">
        <is>
          <t xml:space="preserve">  2. Import location: 'Replace spreadsheet'. Separator: comma. Click Import data.</t>
        </is>
      </c>
    </row>
    <row r="6">
      <c r="A6" t="inlineStr">
        <is>
          <t xml:space="preserve">  3. Select column G &gt; Data &gt; Data validation &gt; Add rule &gt; Dropdown &gt; paste the status list</t>
        </is>
      </c>
    </row>
    <row r="7">
      <c r="A7" t="inlineStr">
        <is>
          <t xml:space="preserve">     (the full lists are on the 'Lists' tab of the Excel file, or in the setup guide).</t>
        </is>
      </c>
    </row>
    <row r="8">
      <c r="A8" t="inlineStr">
        <is>
          <t xml:space="preserve">  4. Repeat step 3 for columns D, F, I, K, L.</t>
        </is>
      </c>
    </row>
    <row r="9">
      <c r="A9" t="inlineStr">
        <is>
          <t xml:space="preserve">  5. Select columns N, O, P &gt; paste the three formulas from row 3 and press Ctrl+D to fill down.</t>
        </is>
      </c>
    </row>
    <row r="10">
      <c r="A10" t="inlineStr">
        <is>
          <t xml:space="preserve">  6. Select row 2 &gt; View &gt; Freeze &gt; 1 row. Then Data &gt; Create a filter.</t>
        </is>
      </c>
    </row>
    <row r="11">
      <c r="A11" t="inlineStr">
        <is>
          <t xml:space="preserve">  7. Format &gt; Conditional formatting &gt; 'Text contains' &gt; OVERDUE &gt; red.</t>
        </is>
      </c>
    </row>
    <row r="12">
      <c r="A12" t="inlineStr"/>
    </row>
    <row r="13">
      <c r="A13" s="3" t="inlineStr">
        <is>
          <t>Option 2 - upload the Excel file:</t>
        </is>
      </c>
    </row>
    <row r="14">
      <c r="A14" t="inlineStr">
        <is>
          <t xml:space="preserve">  1. Google Drive &gt; New &gt; File upload &gt; AWER-Enquiry-Tracker-SAMPLE.xlsx</t>
        </is>
      </c>
    </row>
    <row r="15">
      <c r="A15" t="inlineStr">
        <is>
          <t xml:space="preserve">  2. Right-click the file &gt; Open with &gt; Google Sheets. Dropdowns and formulas survive this.</t>
        </is>
      </c>
    </row>
    <row r="16">
      <c r="A16" t="inlineStr">
        <is>
          <t xml:space="preserve">  3. If colours look different, reapply one conditional formatting rule and it will match.</t>
        </is>
      </c>
    </row>
    <row r="17">
      <c r="A17" t="inlineStr"/>
    </row>
    <row r="18">
      <c r="A18" t="inlineStr">
        <is>
          <t>Sharing with your client (do this):</t>
        </is>
      </c>
    </row>
    <row r="19">
      <c r="A19" s="3" t="inlineStr">
        <is>
          <t xml:space="preserve">  Share button &gt; give THEIR email Editor access &gt; they click 'Make a copy' or use it directly.</t>
        </is>
      </c>
    </row>
    <row r="20">
      <c r="A20" t="inlineStr">
        <is>
          <t xml:space="preserve">  Do not share as 'anyone with the link'.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2026-10-12T18:40:11Z</dcterms:created>
  <dcterms:modified xsi:type="dcterms:W3CDTF">2026-10-12T18:40:11Z</dcterms:modified>
</cp:coreProperties>
</file>